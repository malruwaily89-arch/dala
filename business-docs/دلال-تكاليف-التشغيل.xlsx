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 التنفيذي" sheetId="1" state="visible" r:id="rId1"/>
    <sheet name="تكلفة" sheetId="2" state="visible" r:id="rId2"/>
    <sheet name="خوادم" sheetId="3" state="visible" r:id="rId3"/>
    <sheet name="الدعم" sheetId="4" state="visible" r:id="rId4"/>
    <sheet name="السيناريوه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 ر.س&quot;"/>
    <numFmt numFmtId="165" formatCode="0.0%"/>
    <numFmt numFmtId="166" formatCode="0&quot; أشهر&quot;"/>
    <numFmt numFmtId="167" formatCode="0&quot; صالون&quot;"/>
    <numFmt numFmtId="168" formatCode="0&quot; موعد&quot;"/>
    <numFmt numFmtId="169" formatCode="0.0&quot; هللة&quot;"/>
  </numFmts>
  <fonts count="14">
    <font>
      <name val="Calibri"/>
      <family val="2"/>
      <color theme="1"/>
      <sz val="11"/>
      <scheme val="minor"/>
    </font>
    <font>
      <b val="1"/>
      <color rgb="009D174D"/>
      <sz val="16"/>
    </font>
    <font>
      <color rgb="0071717A"/>
      <sz val="11"/>
    </font>
    <font>
      <b val="1"/>
      <color rgb="00FFFFFF"/>
      <sz val="11"/>
    </font>
    <font>
      <b val="1"/>
      <color rgb="009D174D"/>
    </font>
    <font>
      <i val="1"/>
      <color rgb="0071717A"/>
      <sz val="9"/>
    </font>
    <font>
      <b val="1"/>
      <color rgb="009D174D"/>
      <sz val="14"/>
    </font>
    <font>
      <b val="1"/>
      <color rgb="009D174D"/>
      <sz val="12"/>
    </font>
    <font>
      <b val="1"/>
      <color rgb="000000FF"/>
    </font>
    <font>
      <color rgb="0071717A"/>
      <sz val="9"/>
    </font>
    <font>
      <b val="1"/>
      <sz val="12"/>
    </font>
    <font>
      <b val="1"/>
      <color rgb="00166534"/>
    </font>
    <font>
      <b val="1"/>
    </font>
    <font>
      <b val="1"/>
      <color rgb="009D174D"/>
      <sz val="11"/>
    </font>
  </fonts>
  <fills count="4">
    <fill>
      <patternFill/>
    </fill>
    <fill>
      <patternFill patternType="gray125"/>
    </fill>
    <fill>
      <patternFill patternType="solid">
        <fgColor rgb="009D174D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 wrapText="1"/>
    </xf>
    <xf numFmtId="165" fontId="4" fillId="0" borderId="1" applyAlignment="1" pivotButton="0" quotePrefix="0" xfId="0">
      <alignment horizontal="right" vertical="center" wrapText="1"/>
    </xf>
    <xf numFmtId="164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 wrapText="1"/>
    </xf>
    <xf numFmtId="167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168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169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center" vertical="center" wrapText="1"/>
    </xf>
    <xf numFmtId="0" fontId="10" fillId="3" borderId="0" pivotButton="0" quotePrefix="0" xfId="0"/>
    <xf numFmtId="164" fontId="10" fillId="3" borderId="0" pivotButton="0" quotePrefix="0" xfId="0"/>
    <xf numFmtId="164" fontId="8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" fontId="12" fillId="0" borderId="1" applyAlignment="1" pivotButton="0" quotePrefix="0" xfId="0">
      <alignment horizontal="center" vertical="center" wrapText="1"/>
    </xf>
    <xf numFmtId="164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1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0" borderId="1" pivotButton="0" quotePrefix="0" xfId="0"/>
    <xf numFmtId="164" fontId="0" fillId="0" borderId="1" pivotButton="0" quotePrefix="0" xfId="0"/>
    <xf numFmtId="0" fontId="12" fillId="0" borderId="0" pivotButton="0" quotePrefix="0" xfId="0"/>
    <xf numFmtId="0" fontId="11" fillId="0" borderId="0" pivotButton="0" quotePrefix="0" xfId="0"/>
    <xf numFmtId="164" fontId="1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4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46" customWidth="1" min="4" max="4"/>
  </cols>
  <sheetData>
    <row r="2">
      <c r="B2" s="1" t="inlineStr">
        <is>
          <t>منصة سيدة — الملخص التنفيذي للتكاليف والإيرادات</t>
        </is>
      </c>
    </row>
    <row r="3">
      <c r="B3" s="2" t="inlineStr">
        <is>
          <t>نظام إدارة مواعيد الصالونات النسائية</t>
        </is>
      </c>
    </row>
    <row r="5">
      <c r="B5" s="3" t="inlineStr">
        <is>
          <t>البند</t>
        </is>
      </c>
      <c r="C5" s="3" t="inlineStr">
        <is>
          <t>القيمة</t>
        </is>
      </c>
      <c r="D5" s="3" t="inlineStr">
        <is>
          <t>ملاحظة</t>
        </is>
      </c>
    </row>
    <row r="6">
      <c r="B6" s="4" t="inlineStr">
        <is>
          <t>متوسط الإيراد الشهري للعميلة (اشتراك)</t>
        </is>
      </c>
      <c r="C6" s="5" t="n">
        <v>400</v>
      </c>
      <c r="D6" s="4" t="inlineStr">
        <is>
          <t>وسيط بين باقة 199 و999 ريال — خلية مرجعية C6</t>
        </is>
      </c>
    </row>
    <row r="7">
      <c r="B7" s="4" t="inlineStr">
        <is>
          <t>تكلفة خدمة الصالون الواحد شهرياً</t>
        </is>
      </c>
      <c r="C7" s="6">
        <f>تكلفة!C21</f>
        <v/>
      </c>
      <c r="D7" s="4" t="inlineStr">
        <is>
          <t>مربوط بورقة التكلفة — تتحدث تلقائياً</t>
        </is>
      </c>
    </row>
    <row r="8">
      <c r="B8" s="4" t="inlineStr">
        <is>
          <t>هامش الربح الإجمالي (متوسط)</t>
        </is>
      </c>
      <c r="C8" s="7">
        <f>1-C7/C6</f>
        <v/>
      </c>
      <c r="D8" s="4" t="inlineStr">
        <is>
          <t>بعد كل التكاليف المباشرة</t>
        </is>
      </c>
    </row>
    <row r="9">
      <c r="B9" s="4" t="inlineStr">
        <is>
          <t>استثمار البدء المطلوب</t>
        </is>
      </c>
      <c r="C9" s="8" t="n">
        <v>3500</v>
      </c>
      <c r="D9" s="4" t="inlineStr">
        <is>
          <t>تفصيله في PDF شروط البدء</t>
        </is>
      </c>
    </row>
    <row r="10">
      <c r="B10" s="4" t="inlineStr">
        <is>
          <t>نقطة التعادل</t>
        </is>
      </c>
      <c r="C10" s="9">
        <f>السيناريوهات!C18</f>
        <v/>
      </c>
      <c r="D10" s="4" t="inlineStr">
        <is>
          <t>أول شهر صافٍ موجب — من ورقة السيناريوهات</t>
        </is>
      </c>
    </row>
    <row r="11">
      <c r="B11" s="4" t="inlineStr">
        <is>
          <t>المستهدف سنة أولى (صالونات)</t>
        </is>
      </c>
      <c r="C11" s="10" t="n">
        <v>300</v>
      </c>
      <c r="D11" s="4" t="inlineStr">
        <is>
          <t>هدف تسويقي</t>
        </is>
      </c>
    </row>
    <row r="12">
      <c r="B12" s="4" t="inlineStr">
        <is>
          <t>الإيراد الشهري المتوقع عند 300 صالون</t>
        </is>
      </c>
      <c r="C12" s="11">
        <f>C6*C11</f>
        <v/>
      </c>
      <c r="D12" s="4" t="inlineStr">
        <is>
          <t>متوسط الاشتراك × عدد الصالونات</t>
        </is>
      </c>
    </row>
    <row r="14">
      <c r="B14" s="12" t="inlineStr">
        <is>
          <t>الخلايا الصفراء أهداف/قرارات. كل ما عداه معادلات حية مرتبطة بالأوراق الأخرى.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6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52" customWidth="1" min="4" max="4"/>
  </cols>
  <sheetData>
    <row r="2">
      <c r="B2" s="13" t="inlineStr">
        <is>
          <t>تكلفة خدمة الصالون الواحد شهرياً</t>
        </is>
      </c>
    </row>
    <row r="4">
      <c r="B4" s="14" t="inlineStr">
        <is>
          <t>أولاً: الافتراضات (عدّل الخلايا الزرقاء — الكل يُعاد حسابه)</t>
        </is>
      </c>
    </row>
    <row r="5">
      <c r="B5" s="4" t="inlineStr">
        <is>
          <t>متوسط المواعيد شهرياً (خط أساس)</t>
        </is>
      </c>
      <c r="C5" s="15" t="n">
        <v>100</v>
      </c>
      <c r="D5" s="4" t="inlineStr"/>
    </row>
    <row r="6">
      <c r="B6" s="4" t="inlineStr">
        <is>
          <t>رسائل واتساب لكل موعد (تأكيد+تذكير+متابعة)</t>
        </is>
      </c>
      <c r="C6" s="16" t="n">
        <v>3</v>
      </c>
      <c r="D6" s="4" t="inlineStr"/>
    </row>
    <row r="7">
      <c r="B7" s="4" t="inlineStr">
        <is>
          <t>سعر رسالة واتساب (هللة)</t>
        </is>
      </c>
      <c r="C7" s="17" t="n">
        <v>2.5</v>
      </c>
      <c r="D7" s="4" t="inlineStr"/>
    </row>
    <row r="8">
      <c r="B8" s="4" t="inlineStr">
        <is>
          <t>متوسط سعر الخدمة</t>
        </is>
      </c>
      <c r="C8" s="18" t="n">
        <v>300</v>
      </c>
      <c r="D8" s="4" t="inlineStr"/>
    </row>
    <row r="9">
      <c r="B9" s="4" t="inlineStr">
        <is>
          <t>نسبة العربون من سعر الخدمة</t>
        </is>
      </c>
      <c r="C9" s="19" t="n">
        <v>0.2</v>
      </c>
      <c r="D9" s="4" t="inlineStr"/>
    </row>
    <row r="10">
      <c r="B10" s="4" t="inlineStr">
        <is>
          <t>عمولة بوابة الدفع (على العربون)</t>
        </is>
      </c>
      <c r="C10" s="19" t="n">
        <v>0.015</v>
      </c>
      <c r="D10" s="4" t="inlineStr"/>
    </row>
    <row r="12">
      <c r="B12" s="14" t="inlineStr">
        <is>
          <t>ثانياً: بنود التكلفة الشهرية</t>
        </is>
      </c>
    </row>
    <row r="13">
      <c r="B13" s="3" t="inlineStr">
        <is>
          <t>البند</t>
        </is>
      </c>
      <c r="C13" s="3" t="inlineStr">
        <is>
          <t>التكلفة/شهر</t>
        </is>
      </c>
      <c r="D13" s="3" t="inlineStr">
        <is>
          <t>طريقة الحساب</t>
        </is>
      </c>
    </row>
    <row r="14">
      <c r="B14" s="4" t="inlineStr">
        <is>
          <t>رسائل واتساب (Meta Cloud API)</t>
        </is>
      </c>
      <c r="C14" s="20">
        <f>C5*C6*C7/100</f>
        <v/>
      </c>
      <c r="D14" s="21" t="inlineStr">
        <is>
          <t>المواعيد × الرسائل × سعر الرسالة (هللة÷100)</t>
        </is>
      </c>
    </row>
    <row r="15">
      <c r="B15" s="4" t="inlineStr">
        <is>
          <t>رسوم بوابة الدفع (على العربون)</t>
        </is>
      </c>
      <c r="C15" s="20">
        <f>C5*C8*C9*C10</f>
        <v/>
      </c>
      <c r="D15" s="21" t="inlineStr">
        <is>
          <t>المواعيد × السعر × العربون × العمولة</t>
        </is>
      </c>
    </row>
    <row r="16">
      <c r="B16" s="4" t="inlineStr">
        <is>
          <t>حصة الصالون من الخوادم</t>
        </is>
      </c>
      <c r="C16" s="20">
        <f>خوادم!E9/خوادم!C15</f>
        <v/>
      </c>
      <c r="D16" s="21" t="inlineStr">
        <is>
          <t>خوادم 300 صالون ÷ 300</t>
        </is>
      </c>
    </row>
    <row r="17">
      <c r="B17" s="4" t="inlineStr">
        <is>
          <t>حصة الصالون من الدعم الفني</t>
        </is>
      </c>
      <c r="C17" s="20">
        <f>الدعم!E13/خوادم!C15</f>
        <v/>
      </c>
      <c r="D17" s="21" t="inlineStr">
        <is>
          <t>تكلفة الدعم الكلية عند 300 ÷ 300 صالون</t>
        </is>
      </c>
    </row>
    <row r="18">
      <c r="B18" s="4" t="inlineStr">
        <is>
          <t>حصة الصالون من تكلفة اكتساب العميل</t>
        </is>
      </c>
      <c r="C18" s="22" t="n">
        <v>30</v>
      </c>
      <c r="D18" s="21" t="inlineStr">
        <is>
          <t>CAC موزعة على 12 شهراً</t>
        </is>
      </c>
    </row>
    <row r="20">
      <c r="B20" s="23" t="inlineStr">
        <is>
          <t>إجمالي تكلفة الصالون الواحد شهرياً</t>
        </is>
      </c>
      <c r="C20" s="24">
        <f>SUM(C14:C18)</f>
        <v/>
      </c>
    </row>
    <row r="22">
      <c r="B22" t="inlineStr">
        <is>
          <t>الاشتراك المحصل (متوسط)</t>
        </is>
      </c>
      <c r="C22" s="25" t="n">
        <v>400</v>
      </c>
    </row>
    <row r="23">
      <c r="B23" t="inlineStr">
        <is>
          <t>هامش الربح الشهري لكل صالون</t>
        </is>
      </c>
      <c r="C23" s="26">
        <f>C22-C20</f>
        <v/>
      </c>
    </row>
    <row r="24">
      <c r="B24" t="inlineStr">
        <is>
          <t>نسبة الهامش</t>
        </is>
      </c>
      <c r="C24" s="27">
        <f>C23/C22</f>
        <v/>
      </c>
    </row>
    <row r="26">
      <c r="B26" s="12" t="inlineStr">
        <is>
          <t>الأرقام محافظة: رسائل Meta الخدمية أرخص فعلياً، والدعم ينخفض مع قاعدة المعرفة والفيديوهات.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8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20" customWidth="1" min="3" max="3"/>
    <col width="26" customWidth="1" min="4" max="4"/>
    <col width="16" customWidth="1" min="5" max="5"/>
    <col width="44" customWidth="1" min="6" max="6"/>
  </cols>
  <sheetData>
    <row r="2">
      <c r="B2" s="13" t="inlineStr">
        <is>
          <t>تكلفة الخوادم حسب حجم المنصة</t>
        </is>
      </c>
    </row>
    <row r="4">
      <c r="B4" s="3" t="inlineStr">
        <is>
          <t>عدد الصالونات</t>
        </is>
      </c>
      <c r="C4" s="3" t="inlineStr">
        <is>
          <t>الاستضافة (Vercel)</t>
        </is>
      </c>
      <c r="D4" s="3" t="inlineStr">
        <is>
          <t>قاعدة البيانات (Supabase)</t>
        </is>
      </c>
      <c r="E4" s="3" t="inlineStr">
        <is>
          <t>الإجمالي/شهر</t>
        </is>
      </c>
      <c r="F4" s="3" t="inlineStr">
        <is>
          <t>ملاحظات</t>
        </is>
      </c>
    </row>
    <row r="5">
      <c r="B5" s="28" t="n">
        <v>25</v>
      </c>
      <c r="C5" s="22" t="n">
        <v>0</v>
      </c>
      <c r="D5" s="22" t="n">
        <v>0</v>
      </c>
      <c r="E5" s="20">
        <f>C5+D5</f>
        <v/>
      </c>
      <c r="F5" s="4" t="inlineStr">
        <is>
          <t>خطط مجانية تكفي بسهولة</t>
        </is>
      </c>
    </row>
    <row r="6">
      <c r="B6" s="28" t="n">
        <v>100</v>
      </c>
      <c r="C6" s="22" t="n">
        <v>320</v>
      </c>
      <c r="D6" s="22" t="n">
        <v>360</v>
      </c>
      <c r="E6" s="20">
        <f>C6+D6</f>
        <v/>
      </c>
      <c r="F6" s="4" t="inlineStr">
        <is>
          <t>خطة Pro لقاعدة البيانات</t>
        </is>
      </c>
    </row>
    <row r="7">
      <c r="B7" s="28" t="n">
        <v>300</v>
      </c>
      <c r="C7" s="22" t="n">
        <v>320</v>
      </c>
      <c r="D7" s="22" t="n">
        <v>720</v>
      </c>
      <c r="E7" s="20">
        <f>C7+D7</f>
        <v/>
      </c>
      <c r="F7" s="4" t="inlineStr">
        <is>
          <t>قاعدة أكبر + نسخ احتياطي يومي</t>
        </is>
      </c>
    </row>
    <row r="8">
      <c r="B8" s="28" t="n">
        <v>700</v>
      </c>
      <c r="C8" s="22" t="n">
        <v>1200</v>
      </c>
      <c r="D8" s="22" t="n">
        <v>1440</v>
      </c>
      <c r="E8" s="20">
        <f>C8+D8</f>
        <v/>
      </c>
      <c r="F8" s="4" t="inlineStr">
        <is>
          <t>خوادم داخل السعودية (متطلبات PDPL)</t>
        </is>
      </c>
    </row>
    <row r="9">
      <c r="B9" s="28" t="n">
        <v>1500</v>
      </c>
      <c r="C9" s="22" t="n">
        <v>2100</v>
      </c>
      <c r="D9" s="22" t="n">
        <v>2880</v>
      </c>
      <c r="E9" s="20">
        <f>C9+D9</f>
        <v/>
      </c>
      <c r="F9" s="4" t="inlineStr">
        <is>
          <t>توسع بنيوي + موازنات حمل</t>
        </is>
      </c>
    </row>
    <row r="12">
      <c r="B12" t="inlineStr">
        <is>
          <t>الإجمالي السنوي عند 300 صالون</t>
        </is>
      </c>
      <c r="E12" s="29">
        <f>E7*12</f>
        <v/>
      </c>
    </row>
    <row r="14">
      <c r="B14" s="30" t="inlineStr">
        <is>
          <t>قيم مرجعية تستخدمها ورقة التكلفة:</t>
        </is>
      </c>
    </row>
    <row r="15">
      <c r="B15" t="inlineStr">
        <is>
          <t>عدد الصالونات المرجعي</t>
        </is>
      </c>
      <c r="C15" s="31" t="n">
        <v>300</v>
      </c>
    </row>
    <row r="18">
      <c r="B18" s="12" t="inlineStr">
        <is>
          <t>PDPL: عند تجاوز ~500 صالون يُنصح بترحيل لخوادم داخل المملكة (STC/Oracle الرياض) — التكلفة مشمولة في صف 700+.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3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6" customWidth="1" min="4" max="4"/>
    <col width="42" customWidth="1" min="5" max="5"/>
  </cols>
  <sheetData>
    <row r="2">
      <c r="B2" s="13" t="inlineStr">
        <is>
          <t>تكلفة الدعم الفني الشهرية</t>
        </is>
      </c>
    </row>
    <row r="4">
      <c r="B4" s="3" t="inlineStr">
        <is>
          <t>عدد الصالونات</t>
        </is>
      </c>
      <c r="C4" s="3" t="inlineStr">
        <is>
          <t>موظفو الدعم</t>
        </is>
      </c>
      <c r="D4" s="3" t="inlineStr">
        <is>
          <t>التكلفة/شهر</t>
        </is>
      </c>
      <c r="E4" s="3" t="inlineStr">
        <is>
          <t>ملاحظة</t>
        </is>
      </c>
    </row>
    <row r="5">
      <c r="B5" s="28" t="n">
        <v>50</v>
      </c>
      <c r="C5" s="32" t="n">
        <v>1</v>
      </c>
      <c r="D5" s="22" t="n">
        <v>6150</v>
      </c>
      <c r="E5" s="4" t="inlineStr">
        <is>
          <t>موظف واحد + أدوات</t>
        </is>
      </c>
    </row>
    <row r="6">
      <c r="B6" s="28" t="n">
        <v>150</v>
      </c>
      <c r="C6" s="32" t="n">
        <v>1</v>
      </c>
      <c r="D6" s="22" t="n">
        <v>6150</v>
      </c>
      <c r="E6" s="4" t="inlineStr">
        <is>
          <t>الحد الأقصى لموظف واحد</t>
        </is>
      </c>
    </row>
    <row r="7">
      <c r="B7" s="28" t="n">
        <v>400</v>
      </c>
      <c r="C7" s="32" t="n">
        <v>2</v>
      </c>
      <c r="D7" s="22" t="n">
        <v>12300</v>
      </c>
      <c r="E7" s="4" t="inlineStr">
        <is>
          <t>فريق من اثنين</t>
        </is>
      </c>
    </row>
    <row r="8">
      <c r="B8" s="28" t="n">
        <v>1000</v>
      </c>
      <c r="C8" s="32" t="n">
        <v>4</v>
      </c>
      <c r="D8" s="22" t="n">
        <v>24600</v>
      </c>
      <c r="E8" s="4" t="inlineStr">
        <is>
          <t>فريق + نوبات</t>
        </is>
      </c>
    </row>
    <row r="11">
      <c r="B11" t="inlineStr">
        <is>
          <t>الدعم المرجعي عند 300 صالون (استقراء خطي بين 150 و400)</t>
        </is>
      </c>
    </row>
    <row r="13">
      <c r="B13" t="inlineStr">
        <is>
          <t>القيمة المرجعية ↑</t>
        </is>
      </c>
      <c r="E13" s="25">
        <f>ROUND(E8+(E9-E8)*(300-150)/(400-150),0)</f>
        <v/>
      </c>
    </row>
    <row r="16">
      <c r="B16" s="14" t="inlineStr">
        <is>
          <t>توزيع تذاكر الدعم المتوقع</t>
        </is>
      </c>
    </row>
    <row r="17">
      <c r="B17" s="3" t="inlineStr">
        <is>
          <t>النوع</t>
        </is>
      </c>
      <c r="C17" s="3" t="inlineStr">
        <is>
          <t>النسبة</t>
        </is>
      </c>
      <c r="D17" s="3" t="inlineStr">
        <is>
          <t>الوسيلة</t>
        </is>
      </c>
    </row>
    <row r="18">
      <c r="B18" s="4" t="inlineStr">
        <is>
          <t>إعداد أول مرة (Onboarding)</t>
        </is>
      </c>
      <c r="C18" s="33" t="n">
        <v>0.35</v>
      </c>
      <c r="D18" s="4" t="inlineStr">
        <is>
          <t>استدعاء مجدول + فيديو تعريفي</t>
        </is>
      </c>
    </row>
    <row r="19">
      <c r="B19" s="4" t="inlineStr">
        <is>
          <t>استفسارات استخدام</t>
        </is>
      </c>
      <c r="C19" s="33" t="n">
        <v>0.45</v>
      </c>
      <c r="D19" s="4" t="inlineStr">
        <is>
          <t>واتساب أعمال + قاعدة معرفة</t>
        </is>
      </c>
    </row>
    <row r="20">
      <c r="B20" s="4" t="inlineStr">
        <is>
          <t>مشاكل تقنية فعلية</t>
        </is>
      </c>
      <c r="C20" s="33" t="n">
        <v>0.15</v>
      </c>
      <c r="D20" s="4" t="inlineStr">
        <is>
          <t>مراقبة استباقية تقللها</t>
        </is>
      </c>
    </row>
    <row r="21">
      <c r="B21" s="4" t="inlineStr">
        <is>
          <t>فواتير واشتراكات</t>
        </is>
      </c>
      <c r="C21" s="33" t="n">
        <v>0.05</v>
      </c>
      <c r="D21" s="4" t="inlineStr">
        <is>
          <t>أتمتة كاملة</t>
        </is>
      </c>
    </row>
    <row r="23">
      <c r="B23" s="12" t="inlineStr">
        <is>
          <t>قاعدة التشغيل: 1 موظف يخدم ~150 صالون مريحاً (~40 تذكرة/يوم). الفيديوهات وقاعدة المعرفة تخفض التذاكر ~40%.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3" t="inlineStr">
        <is>
          <t>سيناريو أول سنة — إيراد مقابل تكلفة (محافظ)</t>
        </is>
      </c>
    </row>
    <row r="4">
      <c r="B4" s="3" t="inlineStr">
        <is>
          <t>الشهر</t>
        </is>
      </c>
      <c r="C4" s="3" t="inlineStr">
        <is>
          <t>صالونات نشطة</t>
        </is>
      </c>
      <c r="D4" s="3" t="inlineStr">
        <is>
          <t>إيراد/شهر</t>
        </is>
      </c>
      <c r="E4" s="3" t="inlineStr">
        <is>
          <t>تكاليف/شهر</t>
        </is>
      </c>
      <c r="F4" s="3" t="inlineStr">
        <is>
          <t>صافي/شهر</t>
        </is>
      </c>
      <c r="G4" s="3" t="inlineStr">
        <is>
          <t>صافي تراكمي</t>
        </is>
      </c>
    </row>
    <row r="5">
      <c r="B5" s="34" t="n">
        <v>1</v>
      </c>
      <c r="C5" s="35" t="n">
        <v>5</v>
      </c>
      <c r="D5" s="36">
        <f>C5*400</f>
        <v/>
      </c>
      <c r="E5" s="36">
        <f>ROUNDUP(C5/150,0)*6150+IF(C5&lt;=25,0,IF(C5&lt;=100,680,IF(C5&lt;=300,1040,3120)))+C5*(تكلفة!C14+تكلفة!C15+تكلفة!C18)</f>
        <v/>
      </c>
      <c r="F5" s="36">
        <f>D5-E5</f>
        <v/>
      </c>
      <c r="G5" s="36">
        <f>F5</f>
        <v/>
      </c>
    </row>
    <row r="6">
      <c r="B6" s="34" t="n">
        <v>2</v>
      </c>
      <c r="C6" s="35" t="n">
        <v>10</v>
      </c>
      <c r="D6" s="36">
        <f>C6*400</f>
        <v/>
      </c>
      <c r="E6" s="36">
        <f>ROUNDUP(C6/150,0)*6150+IF(C6&lt;=25,0,IF(C6&lt;=100,680,IF(C6&lt;=300,1040,3120)))+C6*(تكلفة!C14+تكلفة!C15+تكلفة!C18)</f>
        <v/>
      </c>
      <c r="F6" s="36">
        <f>D6-E6</f>
        <v/>
      </c>
      <c r="G6" s="36">
        <f>G5+F6</f>
        <v/>
      </c>
    </row>
    <row r="7">
      <c r="B7" s="34" t="n">
        <v>3</v>
      </c>
      <c r="C7" s="35" t="n">
        <v>20</v>
      </c>
      <c r="D7" s="36">
        <f>C7*400</f>
        <v/>
      </c>
      <c r="E7" s="36">
        <f>ROUNDUP(C7/150,0)*6150+IF(C7&lt;=25,0,IF(C7&lt;=100,680,IF(C7&lt;=300,1040,3120)))+C7*(تكلفة!C14+تكلفة!C15+تكلفة!C18)</f>
        <v/>
      </c>
      <c r="F7" s="36">
        <f>D7-E7</f>
        <v/>
      </c>
      <c r="G7" s="36">
        <f>G6+F7</f>
        <v/>
      </c>
    </row>
    <row r="8">
      <c r="B8" s="34" t="n">
        <v>4</v>
      </c>
      <c r="C8" s="35" t="n">
        <v>35</v>
      </c>
      <c r="D8" s="36">
        <f>C8*400</f>
        <v/>
      </c>
      <c r="E8" s="36">
        <f>ROUNDUP(C8/150,0)*6150+IF(C8&lt;=25,0,IF(C8&lt;=100,680,IF(C8&lt;=300,1040,3120)))+C8*(تكلفة!C14+تكلفة!C15+تكلفة!C18)</f>
        <v/>
      </c>
      <c r="F8" s="36">
        <f>D8-E8</f>
        <v/>
      </c>
      <c r="G8" s="36">
        <f>G7+F8</f>
        <v/>
      </c>
    </row>
    <row r="9">
      <c r="B9" s="34" t="n">
        <v>5</v>
      </c>
      <c r="C9" s="35" t="n">
        <v>55</v>
      </c>
      <c r="D9" s="36">
        <f>C9*400</f>
        <v/>
      </c>
      <c r="E9" s="36">
        <f>ROUNDUP(C9/150,0)*6150+IF(C9&lt;=25,0,IF(C9&lt;=100,680,IF(C9&lt;=300,1040,3120)))+C9*(تكلفة!C14+تكلفة!C15+تكلفة!C18)</f>
        <v/>
      </c>
      <c r="F9" s="36">
        <f>D9-E9</f>
        <v/>
      </c>
      <c r="G9" s="36">
        <f>G8+F9</f>
        <v/>
      </c>
    </row>
    <row r="10">
      <c r="B10" s="34" t="n">
        <v>6</v>
      </c>
      <c r="C10" s="35" t="n">
        <v>80</v>
      </c>
      <c r="D10" s="36">
        <f>C10*400</f>
        <v/>
      </c>
      <c r="E10" s="36">
        <f>ROUNDUP(C10/150,0)*6150+IF(C10&lt;=25,0,IF(C10&lt;=100,680,IF(C10&lt;=300,1040,3120)))+C10*(تكلفة!C14+تكلفة!C15+تكلفة!C18)</f>
        <v/>
      </c>
      <c r="F10" s="36">
        <f>D10-E10</f>
        <v/>
      </c>
      <c r="G10" s="36">
        <f>G9+F10</f>
        <v/>
      </c>
    </row>
    <row r="11">
      <c r="B11" s="34" t="n">
        <v>7</v>
      </c>
      <c r="C11" s="35" t="n">
        <v>110</v>
      </c>
      <c r="D11" s="36">
        <f>C11*400</f>
        <v/>
      </c>
      <c r="E11" s="36">
        <f>ROUNDUP(C11/150,0)*6150+IF(C11&lt;=25,0,IF(C11&lt;=100,680,IF(C11&lt;=300,1040,3120)))+C11*(تكلفة!C14+تكلفة!C15+تكلفة!C18)</f>
        <v/>
      </c>
      <c r="F11" s="36">
        <f>D11-E11</f>
        <v/>
      </c>
      <c r="G11" s="36">
        <f>G10+F11</f>
        <v/>
      </c>
    </row>
    <row r="12">
      <c r="B12" s="34" t="n">
        <v>8</v>
      </c>
      <c r="C12" s="35" t="n">
        <v>145</v>
      </c>
      <c r="D12" s="36">
        <f>C12*400</f>
        <v/>
      </c>
      <c r="E12" s="36">
        <f>ROUNDUP(C12/150,0)*6150+IF(C12&lt;=25,0,IF(C12&lt;=100,680,IF(C12&lt;=300,1040,3120)))+C12*(تكلفة!C14+تكلفة!C15+تكلفة!C18)</f>
        <v/>
      </c>
      <c r="F12" s="36">
        <f>D12-E12</f>
        <v/>
      </c>
      <c r="G12" s="36">
        <f>G11+F12</f>
        <v/>
      </c>
    </row>
    <row r="13">
      <c r="B13" s="34" t="n">
        <v>9</v>
      </c>
      <c r="C13" s="35" t="n">
        <v>180</v>
      </c>
      <c r="D13" s="36">
        <f>C13*400</f>
        <v/>
      </c>
      <c r="E13" s="36">
        <f>ROUNDUP(C13/150,0)*6150+IF(C13&lt;=25,0,IF(C13&lt;=100,680,IF(C13&lt;=300,1040,3120)))+C13*(تكلفة!C14+تكلفة!C15+تكلفة!C18)</f>
        <v/>
      </c>
      <c r="F13" s="36">
        <f>D13-E13</f>
        <v/>
      </c>
      <c r="G13" s="36">
        <f>G12+F13</f>
        <v/>
      </c>
    </row>
    <row r="14">
      <c r="B14" s="34" t="n">
        <v>10</v>
      </c>
      <c r="C14" s="35" t="n">
        <v>220</v>
      </c>
      <c r="D14" s="36">
        <f>C14*400</f>
        <v/>
      </c>
      <c r="E14" s="36">
        <f>ROUNDUP(C14/150,0)*6150+IF(C14&lt;=25,0,IF(C14&lt;=100,680,IF(C14&lt;=300,1040,3120)))+C14*(تكلفة!C14+تكلفة!C15+تكلفة!C18)</f>
        <v/>
      </c>
      <c r="F14" s="36">
        <f>D14-E14</f>
        <v/>
      </c>
      <c r="G14" s="36">
        <f>G13+F14</f>
        <v/>
      </c>
    </row>
    <row r="15">
      <c r="B15" s="34" t="n">
        <v>11</v>
      </c>
      <c r="C15" s="35" t="n">
        <v>260</v>
      </c>
      <c r="D15" s="36">
        <f>C15*400</f>
        <v/>
      </c>
      <c r="E15" s="36">
        <f>ROUNDUP(C15/150,0)*6150+IF(C15&lt;=25,0,IF(C15&lt;=100,680,IF(C15&lt;=300,1040,3120)))+C15*(تكلفة!C14+تكلفة!C15+تكلفة!C18)</f>
        <v/>
      </c>
      <c r="F15" s="36">
        <f>D15-E15</f>
        <v/>
      </c>
      <c r="G15" s="36">
        <f>G14+F15</f>
        <v/>
      </c>
    </row>
    <row r="16">
      <c r="B16" s="34" t="n">
        <v>12</v>
      </c>
      <c r="C16" s="35" t="n">
        <v>300</v>
      </c>
      <c r="D16" s="36">
        <f>C16*400</f>
        <v/>
      </c>
      <c r="E16" s="36">
        <f>ROUNDUP(C16/150,0)*6150+IF(C16&lt;=25,0,IF(C16&lt;=100,680,IF(C16&lt;=300,1040,3120)))+C16*(تكلفة!C14+تكلفة!C15+تكلفة!C18)</f>
        <v/>
      </c>
      <c r="F16" s="36">
        <f>D16-E16</f>
        <v/>
      </c>
      <c r="G16" s="36">
        <f>G15+F16</f>
        <v/>
      </c>
    </row>
    <row r="18">
      <c r="B18" s="37" t="inlineStr">
        <is>
          <t>نقطة التعادل — أول شهر صافٍ موجب</t>
        </is>
      </c>
      <c r="C18" s="38">
        <f>MATCH(TRUE,INDEX(F5:F16&gt;0,0),0)</f>
        <v/>
      </c>
    </row>
    <row r="19">
      <c r="B19" t="inlineStr">
        <is>
          <t>الصافي التراكمي نهاية السنة</t>
        </is>
      </c>
      <c r="C19" s="39">
        <f>G16</f>
        <v/>
      </c>
    </row>
    <row r="21">
      <c r="B21" s="12" t="inlineStr">
        <is>
          <t>محافظ: لا يشمل دفعات سنوية مقدمة (تحسّن التدفق)، ولا رسوم تثبيت، ولا خدمات ترحيل مدفوعة.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2026-09-23T22:42:40Z</dcterms:created>
  <dcterms:modified xsi:type="dcterms:W3CDTF">2026-09-23T22:42:40Z</dcterms:modified>
</cp:coreProperties>
</file>