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تكاليف التأسيسية" sheetId="1" state="visible" r:id="rId1"/>
    <sheet name="التشغيلية الشهرية" sheetId="2" state="visible" r:id="rId2"/>
    <sheet name="خطة التوظيف" sheetId="3" state="visible" r:id="rId3"/>
    <sheet name="التوقعات 12 شهراً" sheetId="4" state="visible" r:id="rId4"/>
    <sheet name="تحليل الحساسية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&quot; ر.س&quot;"/>
    <numFmt numFmtId="165" formatCode="0&quot; صالون&quot;"/>
    <numFmt numFmtId="166" formatCode="0.0"/>
  </numFmts>
  <fonts count="9">
    <font>
      <name val="Calibri"/>
      <family val="2"/>
      <color theme="1"/>
      <sz val="11"/>
      <scheme val="minor"/>
    </font>
    <font>
      <b val="1"/>
      <color rgb="009D174D"/>
      <sz val="14"/>
    </font>
    <font>
      <color rgb="0071717A"/>
      <sz val="11"/>
    </font>
    <font>
      <b val="1"/>
      <color rgb="00FFFFFF"/>
      <sz val="11"/>
    </font>
    <font>
      <b val="1"/>
    </font>
    <font>
      <b val="1"/>
      <color rgb="009D174D"/>
    </font>
    <font>
      <i val="1"/>
      <color rgb="0071717A"/>
      <sz val="9"/>
    </font>
    <font>
      <b val="1"/>
      <color rgb="009D174D"/>
      <sz val="12"/>
    </font>
    <font>
      <b val="1"/>
      <color rgb="00166534"/>
    </font>
  </fonts>
  <fills count="4">
    <fill>
      <patternFill/>
    </fill>
    <fill>
      <patternFill patternType="gray125"/>
    </fill>
    <fill>
      <patternFill patternType="solid">
        <fgColor rgb="009D174D"/>
      </patternFill>
    </fill>
    <fill>
      <patternFill patternType="solid">
        <fgColor rgb="00FEF9C3"/>
      </patternFill>
    </fill>
  </fills>
  <borders count="2">
    <border>
      <left/>
      <right/>
      <top/>
      <bottom/>
      <diagonal/>
    </border>
    <border>
      <left style="thin">
        <color rgb="00E4E4E7"/>
      </left>
      <right style="thin">
        <color rgb="00E4E4E7"/>
      </right>
      <top style="thin">
        <color rgb="00E4E4E7"/>
      </top>
      <bottom style="thin">
        <color rgb="00E4E4E7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right" vertical="center" wrapText="1"/>
    </xf>
    <xf numFmtId="164" fontId="0" fillId="0" borderId="1" applyAlignment="1" pivotButton="0" quotePrefix="0" xfId="0">
      <alignment horizontal="center" vertical="center" wrapText="1"/>
    </xf>
    <xf numFmtId="0" fontId="4" fillId="3" borderId="1" pivotButton="0" quotePrefix="0" xfId="0"/>
    <xf numFmtId="164" fontId="5" fillId="3" borderId="1" pivotButton="0" quotePrefix="0" xfId="0"/>
    <xf numFmtId="0" fontId="0" fillId="0" borderId="1" pivotButton="0" quotePrefix="0" xfId="0"/>
    <xf numFmtId="0" fontId="6" fillId="0" borderId="0" applyAlignment="1" pivotButton="0" quotePrefix="0" xfId="0">
      <alignment vertical="top" wrapText="1"/>
    </xf>
    <xf numFmtId="0" fontId="7" fillId="0" borderId="0" pivotButton="0" quotePrefix="0" xfId="0"/>
    <xf numFmtId="0" fontId="4" fillId="3" borderId="0" pivotButton="0" quotePrefix="0" xfId="0"/>
    <xf numFmtId="164" fontId="5" fillId="3" borderId="0" pivotButton="0" quotePrefix="0" xfId="0"/>
    <xf numFmtId="164" fontId="5" fillId="0" borderId="1" applyAlignment="1" pivotButton="0" quotePrefix="0" xfId="0">
      <alignment horizontal="center" vertical="center" wrapText="1"/>
    </xf>
    <xf numFmtId="0" fontId="4" fillId="0" borderId="1" pivotButton="0" quotePrefix="0" xfId="0"/>
    <xf numFmtId="164" fontId="0" fillId="0" borderId="1" pivotButton="0" quotePrefix="0" xfId="0"/>
    <xf numFmtId="164" fontId="4" fillId="0" borderId="1" pivotButton="0" quotePrefix="0" xfId="0"/>
    <xf numFmtId="0" fontId="4" fillId="0" borderId="0" pivotButton="0" quotePrefix="0" xfId="0"/>
    <xf numFmtId="0" fontId="8" fillId="0" borderId="0" pivotButton="0" quotePrefix="0" xfId="0"/>
    <xf numFmtId="164" fontId="8" fillId="3" borderId="0" pivotButton="0" quotePrefix="0" xfId="0"/>
    <xf numFmtId="165" fontId="5" fillId="0" borderId="1" applyAlignment="1" pivotButton="0" quotePrefix="0" xfId="0">
      <alignment horizontal="right" vertical="center" wrapText="1"/>
    </xf>
    <xf numFmtId="9" fontId="0" fillId="0" borderId="1" applyAlignment="1" pivotButton="0" quotePrefix="0" xfId="0">
      <alignment horizontal="center" vertical="center" wrapText="1"/>
    </xf>
    <xf numFmtId="166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13"/>
  <sheetViews>
    <sheetView rightToLeft="1" workbookViewId="0">
      <selection activeCell="A1" sqref="A1"/>
    </sheetView>
  </sheetViews>
  <sheetFormatPr baseColWidth="8" defaultRowHeight="15"/>
  <cols>
    <col width="2" customWidth="1" min="1" max="1"/>
    <col width="46" customWidth="1" min="2" max="2"/>
    <col width="18" customWidth="1" min="3" max="3"/>
    <col width="42" customWidth="1" min="4" max="4"/>
  </cols>
  <sheetData>
    <row r="2">
      <c r="B2" s="1" t="inlineStr">
        <is>
          <t>التكاليف التأسيسية لمرة واحدة</t>
        </is>
      </c>
    </row>
    <row r="3">
      <c r="B3" s="2" t="inlineStr">
        <is>
          <t>منصة سيدة — قبل استقبال أول عميل مدفوع</t>
        </is>
      </c>
    </row>
    <row r="5">
      <c r="B5" s="3" t="inlineStr">
        <is>
          <t>البند</t>
        </is>
      </c>
      <c r="C5" s="3" t="inlineStr">
        <is>
          <t>التكلفة (ر.س)</t>
        </is>
      </c>
      <c r="D5" s="3" t="inlineStr">
        <is>
          <t>ملاحظة</t>
        </is>
      </c>
    </row>
    <row r="6">
      <c r="B6" s="4" t="inlineStr">
        <is>
          <t>سجل تجاري + معروف + غرفة تجارة + عنوان وطني</t>
        </is>
      </c>
      <c r="C6" s="5" t="n">
        <v>1000</v>
      </c>
      <c r="D6" s="4" t="inlineStr">
        <is>
          <t>إلزامي قبل أي بيع</t>
        </is>
      </c>
    </row>
    <row r="7">
      <c r="B7" s="4" t="inlineStr">
        <is>
          <t>تفعيل حساب تاجر (Moyasar/Tap)</t>
        </is>
      </c>
      <c r="C7" s="5" t="n">
        <v>1000</v>
      </c>
      <c r="D7" s="4" t="inlineStr">
        <is>
          <t>رسوم تفعيل تقديرية لبوابة الدفع</t>
        </is>
      </c>
    </row>
    <row r="8">
      <c r="B8" s="4" t="inlineStr">
        <is>
          <t>دومين + بريد رسمي + أدوات (سنة أولى)</t>
        </is>
      </c>
      <c r="C8" s="5" t="n">
        <v>500</v>
      </c>
      <c r="D8" s="4" t="inlineStr">
        <is>
          <t>Google Workspace/Zoho + دومين</t>
        </is>
      </c>
    </row>
    <row r="9">
      <c r="B9" s="4" t="inlineStr">
        <is>
          <t>هوية بصرية + مواد تسويقية + فيديو تعريفي</t>
        </is>
      </c>
      <c r="C9" s="5" t="n">
        <v>800</v>
      </c>
      <c r="D9" s="4" t="inlineStr">
        <is>
          <t>شعار، بروشور، فيديو قصير</t>
        </is>
      </c>
    </row>
    <row r="10">
      <c r="B10" s="4" t="inlineStr">
        <is>
          <t>احتياطي تشغيلي (شهرين خوادم/دعم جزئي)</t>
        </is>
      </c>
      <c r="C10" s="5" t="n">
        <v>200</v>
      </c>
      <c r="D10" s="4" t="inlineStr">
        <is>
          <t>الخطط المجانية تكفي البداية</t>
        </is>
      </c>
    </row>
    <row r="11">
      <c r="B11" s="6" t="inlineStr">
        <is>
          <t>الإجمالي</t>
        </is>
      </c>
      <c r="C11" s="7">
        <f>SUM(C6:C10)</f>
        <v/>
      </c>
      <c r="D11" s="8" t="n"/>
    </row>
    <row r="13">
      <c r="B13" s="9" t="inlineStr">
        <is>
          <t>مطابق لتقدير وثيقة شروط-البدء.html — الاستثمار الأولي محدود لأن البنية التقنية (MVP) جاهزة مسبقاً.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D21"/>
  <sheetViews>
    <sheetView rightToLeft="1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22" customWidth="1" min="3" max="3"/>
    <col width="46" customWidth="1" min="4" max="4"/>
  </cols>
  <sheetData>
    <row r="2">
      <c r="B2" s="1" t="inlineStr">
        <is>
          <t>التكاليف التشغيلية الشهرية</t>
        </is>
      </c>
    </row>
    <row r="3">
      <c r="B3" s="2" t="inlineStr">
        <is>
          <t>التكلفة المتغيرة لكل صالون + تكلفة الخوادم حسب حجم القاعدة</t>
        </is>
      </c>
    </row>
    <row r="5">
      <c r="B5" s="10" t="inlineStr">
        <is>
          <t>أولاً: التكلفة المتغيرة لكل صالون شهرياً (100 موعد، سعر خدمة 300 ر.س)</t>
        </is>
      </c>
    </row>
    <row r="6">
      <c r="B6" s="3" t="inlineStr">
        <is>
          <t>البند</t>
        </is>
      </c>
      <c r="C6" s="3" t="inlineStr">
        <is>
          <t>التكلفة (ر.س)</t>
        </is>
      </c>
      <c r="D6" s="3" t="inlineStr">
        <is>
          <t>طريقة الحساب</t>
        </is>
      </c>
    </row>
    <row r="7">
      <c r="B7" s="4" t="inlineStr">
        <is>
          <t>رسائل واتساب (Meta Cloud API)</t>
        </is>
      </c>
      <c r="C7" s="5" t="n">
        <v>7.5</v>
      </c>
      <c r="D7" s="4" t="inlineStr">
        <is>
          <t>100 موعد × 3 رسائل × 2.5 هللة</t>
        </is>
      </c>
    </row>
    <row r="8">
      <c r="B8" s="4" t="inlineStr">
        <is>
          <t>رسوم بوابة الدفع على العربون</t>
        </is>
      </c>
      <c r="C8" s="5" t="n">
        <v>90</v>
      </c>
      <c r="D8" s="4" t="inlineStr">
        <is>
          <t>100 × 300 × 20% عربون × 1.5% عمولة</t>
        </is>
      </c>
    </row>
    <row r="9">
      <c r="B9" s="4" t="inlineStr">
        <is>
          <t>تكلفة اكتساب العميل (CAC) موزعة</t>
        </is>
      </c>
      <c r="C9" s="5" t="n">
        <v>30</v>
      </c>
      <c r="D9" s="4" t="inlineStr">
        <is>
          <t>360 ر.س ÷ 12 شهراً</t>
        </is>
      </c>
    </row>
    <row r="10">
      <c r="B10" s="11" t="inlineStr">
        <is>
          <t>إجمالي التكلفة المتغيرة/صالون</t>
        </is>
      </c>
      <c r="C10" s="12">
        <f>SUM(C7:C9)</f>
        <v/>
      </c>
    </row>
    <row r="13">
      <c r="B13" s="10" t="inlineStr">
        <is>
          <t>ثانياً: تكلفة الخوادم حسب حجم القاعدة الكاملة (لا لكل صالون)</t>
        </is>
      </c>
    </row>
    <row r="14">
      <c r="B14" s="3" t="inlineStr">
        <is>
          <t>نطاق عدد الصالونات</t>
        </is>
      </c>
      <c r="C14" s="3" t="inlineStr">
        <is>
          <t>الاستضافة+قاعدة البيانات/شهر</t>
        </is>
      </c>
      <c r="D14" s="3" t="inlineStr">
        <is>
          <t>ملاحظة</t>
        </is>
      </c>
    </row>
    <row r="15">
      <c r="B15" s="4" t="inlineStr">
        <is>
          <t>حتى 25</t>
        </is>
      </c>
      <c r="C15" s="5" t="n">
        <v>0</v>
      </c>
      <c r="D15" s="4" t="inlineStr">
        <is>
          <t>خطط مجانية تكفي بسهولة</t>
        </is>
      </c>
    </row>
    <row r="16">
      <c r="B16" s="4" t="inlineStr">
        <is>
          <t>26–100</t>
        </is>
      </c>
      <c r="C16" s="5" t="n">
        <v>680</v>
      </c>
      <c r="D16" s="4" t="inlineStr">
        <is>
          <t>خطة Pro لقاعدة البيانات</t>
        </is>
      </c>
    </row>
    <row r="17">
      <c r="B17" s="4" t="inlineStr">
        <is>
          <t>101–300</t>
        </is>
      </c>
      <c r="C17" s="5" t="n">
        <v>1040</v>
      </c>
      <c r="D17" s="4" t="inlineStr">
        <is>
          <t>قاعدة أكبر + نسخ احتياطي يومي</t>
        </is>
      </c>
    </row>
    <row r="18">
      <c r="B18" s="4" t="inlineStr">
        <is>
          <t>301–700</t>
        </is>
      </c>
      <c r="C18" s="5" t="n">
        <v>2640</v>
      </c>
      <c r="D18" s="4" t="inlineStr">
        <is>
          <t>خوادم داخل السعودية (PDPL)</t>
        </is>
      </c>
    </row>
    <row r="19">
      <c r="B19" s="4" t="inlineStr">
        <is>
          <t>701–1500</t>
        </is>
      </c>
      <c r="C19" s="5" t="n">
        <v>4980</v>
      </c>
      <c r="D19" s="4" t="inlineStr">
        <is>
          <t>توسع بنيوي + موازنات حمل</t>
        </is>
      </c>
    </row>
    <row r="21">
      <c r="B21" s="9" t="inlineStr">
        <is>
          <t>مصدر الأرقام: ورقتا 'تكلفة' و'خوادم' في سيدة-تكاليف-التشغيل.xlsx — بلا أي رواتب فريق (تلك في ورقة خطة التوظيف).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F18"/>
  <sheetViews>
    <sheetView rightToLeft="1" workbookViewId="0">
      <selection activeCell="A1" sqref="A1"/>
    </sheetView>
  </sheetViews>
  <sheetFormatPr baseColWidth="8" defaultRowHeight="15"/>
  <cols>
    <col width="2" customWidth="1" min="1" max="1"/>
    <col width="20" customWidth="1" min="2" max="2"/>
    <col width="16" customWidth="1" min="3" max="3"/>
    <col width="40" customWidth="1" min="4" max="4"/>
    <col width="16" customWidth="1" min="5" max="5"/>
    <col width="18" customWidth="1" min="6" max="6"/>
  </cols>
  <sheetData>
    <row r="2">
      <c r="B2" s="1" t="inlineStr">
        <is>
          <t>خطة التوظيف المتدرجة</t>
        </is>
      </c>
    </row>
    <row r="3">
      <c r="B3" s="2" t="inlineStr">
        <is>
          <t>رواتب واقعية للسوق السعودي 2026 — تُفعَّل كل مرحلة عند تجاوز عتبة الصالونات</t>
        </is>
      </c>
    </row>
    <row r="5">
      <c r="B5" s="3" t="inlineStr">
        <is>
          <t>المرحلة</t>
        </is>
      </c>
      <c r="C5" s="3" t="inlineStr">
        <is>
          <t>نطاق الصالونات</t>
        </is>
      </c>
      <c r="D5" s="3" t="inlineStr">
        <is>
          <t>الأدوار المضافة</t>
        </is>
      </c>
      <c r="E5" s="3" t="inlineStr">
        <is>
          <t>التكلفة/شهر</t>
        </is>
      </c>
      <c r="F5" s="3" t="inlineStr">
        <is>
          <t>إجمالي فريق/شهر</t>
        </is>
      </c>
    </row>
    <row r="6">
      <c r="B6" s="4" t="inlineStr">
        <is>
          <t>1 — الانطلاق</t>
        </is>
      </c>
      <c r="C6" s="4" t="inlineStr">
        <is>
          <t>0–20</t>
        </is>
      </c>
      <c r="D6" s="4" t="inlineStr">
        <is>
          <t>مؤسس (بلا راتب) + مسوّقة بدوام جزئي</t>
        </is>
      </c>
      <c r="E6" s="5" t="n">
        <v>1800</v>
      </c>
      <c r="F6" s="13" t="n">
        <v>1800</v>
      </c>
    </row>
    <row r="7">
      <c r="B7" s="4" t="inlineStr">
        <is>
          <t>2 — التوسع الأولي</t>
        </is>
      </c>
      <c r="C7" s="4" t="inlineStr">
        <is>
          <t>21–100</t>
        </is>
      </c>
      <c r="D7" s="4" t="inlineStr">
        <is>
          <t>+ موظفة دعم بدوام جزئي</t>
        </is>
      </c>
      <c r="E7" s="5" t="n">
        <v>3000</v>
      </c>
      <c r="F7" s="13" t="n">
        <v>4800</v>
      </c>
    </row>
    <row r="8">
      <c r="B8" s="4" t="inlineStr">
        <is>
          <t>3 — التثبيت</t>
        </is>
      </c>
      <c r="C8" s="4" t="inlineStr">
        <is>
          <t>101–200</t>
        </is>
      </c>
      <c r="D8" s="4" t="inlineStr">
        <is>
          <t>مسوّقة ودعم دوام كامل + مندوبة مبيعات</t>
        </is>
      </c>
      <c r="E8" s="5" t="n">
        <v>9950</v>
      </c>
      <c r="F8" s="13" t="n">
        <v>14450</v>
      </c>
    </row>
    <row r="9">
      <c r="B9" s="4" t="inlineStr">
        <is>
          <t>4 — النمو</t>
        </is>
      </c>
      <c r="C9" s="4" t="inlineStr">
        <is>
          <t>201–300+</t>
        </is>
      </c>
      <c r="D9" s="4" t="inlineStr">
        <is>
          <t>+ دعم ثانية دوام كامل + مساعدة مبيعات</t>
        </is>
      </c>
      <c r="E9" s="5" t="n">
        <v>8650</v>
      </c>
      <c r="F9" s="13" t="n">
        <v>23100</v>
      </c>
    </row>
    <row r="12">
      <c r="B12" s="10" t="inlineStr">
        <is>
          <t>الأساس المرجعي للرواتب الفردية</t>
        </is>
      </c>
    </row>
    <row r="13">
      <c r="B13" s="3" t="inlineStr">
        <is>
          <t>الدور</t>
        </is>
      </c>
      <c r="C13" s="3" t="inlineStr">
        <is>
          <t>بدوام جزئي (ر.س)</t>
        </is>
      </c>
      <c r="D13" s="3" t="inlineStr">
        <is>
          <t>بدوام كامل (ر.س)</t>
        </is>
      </c>
    </row>
    <row r="14">
      <c r="B14" s="4" t="inlineStr">
        <is>
          <t>مسوّقة</t>
        </is>
      </c>
      <c r="C14" s="4" t="inlineStr">
        <is>
          <t>1,500–2,000</t>
        </is>
      </c>
      <c r="D14" s="4" t="inlineStr">
        <is>
          <t>4,000–5,000</t>
        </is>
      </c>
    </row>
    <row r="15">
      <c r="B15" s="4" t="inlineStr">
        <is>
          <t>موظفة دعم</t>
        </is>
      </c>
      <c r="C15" s="4" t="inlineStr">
        <is>
          <t>2,500–3,500</t>
        </is>
      </c>
      <c r="D15" s="4" t="inlineStr">
        <is>
          <t>5,000–6,500</t>
        </is>
      </c>
    </row>
    <row r="16">
      <c r="B16" s="4" t="inlineStr">
        <is>
          <t>مندوبة مبيعات</t>
        </is>
      </c>
      <c r="C16" s="4" t="inlineStr">
        <is>
          <t>—</t>
        </is>
      </c>
      <c r="D16" s="4" t="inlineStr">
        <is>
          <t>أساسي 2,500–3,500 + عمولة</t>
        </is>
      </c>
    </row>
    <row r="18">
      <c r="B18" s="9" t="inlineStr">
        <is>
          <t>قاعدة الدعم: موظفة واحدة تخدم ~150 صالوناً بارتياح — مطابقة لورقة 'الدعم' في سيدة-تكاليف-التشغيل.xlsx.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J22"/>
  <sheetViews>
    <sheetView rightToLeft="1" workbookViewId="0">
      <selection activeCell="A1" sqref="A1"/>
    </sheetView>
  </sheetViews>
  <sheetFormatPr baseColWidth="8" defaultRowHeight="15"/>
  <cols>
    <col width="2" customWidth="1" min="1" max="1"/>
    <col width="8" customWidth="1" min="2" max="2"/>
    <col width="14" customWidth="1" min="3" max="3"/>
    <col width="14" customWidth="1" min="4" max="4"/>
    <col width="14" customWidth="1" min="5" max="5"/>
    <col width="12" customWidth="1" min="6" max="6"/>
    <col width="14" customWidth="1" min="7" max="7"/>
    <col width="16" customWidth="1" min="8" max="8"/>
    <col width="14" customWidth="1" min="9" max="9"/>
    <col width="16" customWidth="1" min="10" max="10"/>
  </cols>
  <sheetData>
    <row r="2">
      <c r="B2" s="1" t="inlineStr">
        <is>
          <t>توقعات مالية 12 شهراً — مسار النمو الطموح</t>
        </is>
      </c>
    </row>
    <row r="3">
      <c r="B3" s="2" t="inlineStr">
        <is>
          <t>الافتراض: متوسط اشتراك 400 ر.س/صالون، تكلفة متغيرة 130 ر.س/صالون</t>
        </is>
      </c>
    </row>
    <row r="5">
      <c r="B5" s="3" t="inlineStr">
        <is>
          <t>الشهر</t>
        </is>
      </c>
      <c r="C5" s="3" t="inlineStr">
        <is>
          <t>صالونات نشطة</t>
        </is>
      </c>
      <c r="D5" s="3" t="inlineStr">
        <is>
          <t>الإيراد (MRR)</t>
        </is>
      </c>
      <c r="E5" s="3" t="inlineStr">
        <is>
          <t>تكلفة متغيرة</t>
        </is>
      </c>
      <c r="F5" s="3" t="inlineStr">
        <is>
          <t>خوادم</t>
        </is>
      </c>
      <c r="G5" s="3" t="inlineStr">
        <is>
          <t>فريق</t>
        </is>
      </c>
      <c r="H5" s="3" t="inlineStr">
        <is>
          <t>إجمالي التكاليف</t>
        </is>
      </c>
      <c r="I5" s="3" t="inlineStr">
        <is>
          <t>صافي الشهر</t>
        </is>
      </c>
      <c r="J5" s="3" t="inlineStr">
        <is>
          <t>صافٍ تراكمي</t>
        </is>
      </c>
    </row>
    <row r="6">
      <c r="B6" s="8" t="n">
        <v>1</v>
      </c>
      <c r="C6" s="14" t="n">
        <v>5</v>
      </c>
      <c r="D6" s="15">
        <f>C6*400</f>
        <v/>
      </c>
      <c r="E6" s="15">
        <f>C6*130</f>
        <v/>
      </c>
      <c r="F6" s="15" t="n">
        <v>0</v>
      </c>
      <c r="G6" s="15" t="n">
        <v>1800</v>
      </c>
      <c r="H6" s="16">
        <f>E6+F6+G6</f>
        <v/>
      </c>
      <c r="I6" s="15">
        <f>D6-H6</f>
        <v/>
      </c>
      <c r="J6" s="15">
        <f>I6</f>
        <v/>
      </c>
    </row>
    <row r="7">
      <c r="B7" s="8" t="n">
        <v>2</v>
      </c>
      <c r="C7" s="14" t="n">
        <v>10</v>
      </c>
      <c r="D7" s="15">
        <f>C7*400</f>
        <v/>
      </c>
      <c r="E7" s="15">
        <f>C7*130</f>
        <v/>
      </c>
      <c r="F7" s="15" t="n">
        <v>0</v>
      </c>
      <c r="G7" s="15" t="n">
        <v>1800</v>
      </c>
      <c r="H7" s="16">
        <f>E7+F7+G7</f>
        <v/>
      </c>
      <c r="I7" s="15">
        <f>D7-H7</f>
        <v/>
      </c>
      <c r="J7" s="15">
        <f>J6+I7</f>
        <v/>
      </c>
    </row>
    <row r="8">
      <c r="B8" s="8" t="n">
        <v>3</v>
      </c>
      <c r="C8" s="14" t="n">
        <v>20</v>
      </c>
      <c r="D8" s="15">
        <f>C8*400</f>
        <v/>
      </c>
      <c r="E8" s="15">
        <f>C8*130</f>
        <v/>
      </c>
      <c r="F8" s="15" t="n">
        <v>0</v>
      </c>
      <c r="G8" s="15" t="n">
        <v>1800</v>
      </c>
      <c r="H8" s="16">
        <f>E8+F8+G8</f>
        <v/>
      </c>
      <c r="I8" s="15">
        <f>D8-H8</f>
        <v/>
      </c>
      <c r="J8" s="15">
        <f>J7+I8</f>
        <v/>
      </c>
    </row>
    <row r="9">
      <c r="B9" s="8" t="n">
        <v>4</v>
      </c>
      <c r="C9" s="14" t="n">
        <v>35</v>
      </c>
      <c r="D9" s="15">
        <f>C9*400</f>
        <v/>
      </c>
      <c r="E9" s="15">
        <f>C9*130</f>
        <v/>
      </c>
      <c r="F9" s="15" t="n">
        <v>680</v>
      </c>
      <c r="G9" s="15" t="n">
        <v>4800</v>
      </c>
      <c r="H9" s="16">
        <f>E9+F9+G9</f>
        <v/>
      </c>
      <c r="I9" s="15">
        <f>D9-H9</f>
        <v/>
      </c>
      <c r="J9" s="15">
        <f>J8+I9</f>
        <v/>
      </c>
    </row>
    <row r="10">
      <c r="B10" s="8" t="n">
        <v>5</v>
      </c>
      <c r="C10" s="14" t="n">
        <v>55</v>
      </c>
      <c r="D10" s="15">
        <f>C10*400</f>
        <v/>
      </c>
      <c r="E10" s="15">
        <f>C10*130</f>
        <v/>
      </c>
      <c r="F10" s="15" t="n">
        <v>680</v>
      </c>
      <c r="G10" s="15" t="n">
        <v>4800</v>
      </c>
      <c r="H10" s="16">
        <f>E10+F10+G10</f>
        <v/>
      </c>
      <c r="I10" s="15">
        <f>D10-H10</f>
        <v/>
      </c>
      <c r="J10" s="15">
        <f>J9+I10</f>
        <v/>
      </c>
    </row>
    <row r="11">
      <c r="B11" s="8" t="n">
        <v>6</v>
      </c>
      <c r="C11" s="14" t="n">
        <v>80</v>
      </c>
      <c r="D11" s="15">
        <f>C11*400</f>
        <v/>
      </c>
      <c r="E11" s="15">
        <f>C11*130</f>
        <v/>
      </c>
      <c r="F11" s="15" t="n">
        <v>680</v>
      </c>
      <c r="G11" s="15" t="n">
        <v>4800</v>
      </c>
      <c r="H11" s="16">
        <f>E11+F11+G11</f>
        <v/>
      </c>
      <c r="I11" s="15">
        <f>D11-H11</f>
        <v/>
      </c>
      <c r="J11" s="15">
        <f>J10+I11</f>
        <v/>
      </c>
    </row>
    <row r="12">
      <c r="B12" s="8" t="n">
        <v>7</v>
      </c>
      <c r="C12" s="14" t="n">
        <v>110</v>
      </c>
      <c r="D12" s="15">
        <f>C12*400</f>
        <v/>
      </c>
      <c r="E12" s="15">
        <f>C12*130</f>
        <v/>
      </c>
      <c r="F12" s="15" t="n">
        <v>1040</v>
      </c>
      <c r="G12" s="15" t="n">
        <v>14450</v>
      </c>
      <c r="H12" s="16">
        <f>E12+F12+G12</f>
        <v/>
      </c>
      <c r="I12" s="15">
        <f>D12-H12</f>
        <v/>
      </c>
      <c r="J12" s="15">
        <f>J11+I12</f>
        <v/>
      </c>
    </row>
    <row r="13">
      <c r="B13" s="8" t="n">
        <v>8</v>
      </c>
      <c r="C13" s="14" t="n">
        <v>145</v>
      </c>
      <c r="D13" s="15">
        <f>C13*400</f>
        <v/>
      </c>
      <c r="E13" s="15">
        <f>C13*130</f>
        <v/>
      </c>
      <c r="F13" s="15" t="n">
        <v>1040</v>
      </c>
      <c r="G13" s="15" t="n">
        <v>14450</v>
      </c>
      <c r="H13" s="16">
        <f>E13+F13+G13</f>
        <v/>
      </c>
      <c r="I13" s="15">
        <f>D13-H13</f>
        <v/>
      </c>
      <c r="J13" s="15">
        <f>J12+I13</f>
        <v/>
      </c>
    </row>
    <row r="14">
      <c r="B14" s="8" t="n">
        <v>9</v>
      </c>
      <c r="C14" s="14" t="n">
        <v>180</v>
      </c>
      <c r="D14" s="15">
        <f>C14*400</f>
        <v/>
      </c>
      <c r="E14" s="15">
        <f>C14*130</f>
        <v/>
      </c>
      <c r="F14" s="15" t="n">
        <v>1040</v>
      </c>
      <c r="G14" s="15" t="n">
        <v>14450</v>
      </c>
      <c r="H14" s="16">
        <f>E14+F14+G14</f>
        <v/>
      </c>
      <c r="I14" s="15">
        <f>D14-H14</f>
        <v/>
      </c>
      <c r="J14" s="15">
        <f>J13+I14</f>
        <v/>
      </c>
    </row>
    <row r="15">
      <c r="B15" s="8" t="n">
        <v>10</v>
      </c>
      <c r="C15" s="14" t="n">
        <v>220</v>
      </c>
      <c r="D15" s="15">
        <f>C15*400</f>
        <v/>
      </c>
      <c r="E15" s="15">
        <f>C15*130</f>
        <v/>
      </c>
      <c r="F15" s="15" t="n">
        <v>1040</v>
      </c>
      <c r="G15" s="15" t="n">
        <v>23100</v>
      </c>
      <c r="H15" s="16">
        <f>E15+F15+G15</f>
        <v/>
      </c>
      <c r="I15" s="15">
        <f>D15-H15</f>
        <v/>
      </c>
      <c r="J15" s="15">
        <f>J14+I15</f>
        <v/>
      </c>
    </row>
    <row r="16">
      <c r="B16" s="8" t="n">
        <v>11</v>
      </c>
      <c r="C16" s="14" t="n">
        <v>260</v>
      </c>
      <c r="D16" s="15">
        <f>C16*400</f>
        <v/>
      </c>
      <c r="E16" s="15">
        <f>C16*130</f>
        <v/>
      </c>
      <c r="F16" s="15" t="n">
        <v>1040</v>
      </c>
      <c r="G16" s="15" t="n">
        <v>23100</v>
      </c>
      <c r="H16" s="16">
        <f>E16+F16+G16</f>
        <v/>
      </c>
      <c r="I16" s="15">
        <f>D16-H16</f>
        <v/>
      </c>
      <c r="J16" s="15">
        <f>J15+I16</f>
        <v/>
      </c>
    </row>
    <row r="17">
      <c r="B17" s="8" t="n">
        <v>12</v>
      </c>
      <c r="C17" s="14" t="n">
        <v>300</v>
      </c>
      <c r="D17" s="15">
        <f>C17*400</f>
        <v/>
      </c>
      <c r="E17" s="15">
        <f>C17*130</f>
        <v/>
      </c>
      <c r="F17" s="15" t="n">
        <v>1040</v>
      </c>
      <c r="G17" s="15" t="n">
        <v>23100</v>
      </c>
      <c r="H17" s="16">
        <f>E17+F17+G17</f>
        <v/>
      </c>
      <c r="I17" s="15">
        <f>D17-H17</f>
        <v/>
      </c>
      <c r="J17" s="15">
        <f>J16+I17</f>
        <v/>
      </c>
    </row>
    <row r="19">
      <c r="B19" s="17" t="inlineStr">
        <is>
          <t>نقطة التعادل — أول شهر صافٍ موجب</t>
        </is>
      </c>
      <c r="C19" s="18">
        <f>MATCH(TRUE,INDEX(I6:I17&gt;0,0),0)</f>
        <v/>
      </c>
    </row>
    <row r="20">
      <c r="B20" t="inlineStr">
        <is>
          <t>الصافي التراكمي نهاية السنة</t>
        </is>
      </c>
      <c r="C20" s="19">
        <f>J17</f>
        <v/>
      </c>
    </row>
    <row r="22">
      <c r="B22" s="9" t="inlineStr">
        <is>
          <t>تحذير: مسار نمو طموح (تقريباً مضاعف شهرياً في أول 6 أشهر). راجع ورقة تحليل الحساسية والخطة التشغيلية لمسارات أبطأ وأكثر تحفظاً.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E18"/>
  <sheetViews>
    <sheetView rightToLeft="1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24" customWidth="1" min="3" max="3"/>
    <col width="26" customWidth="1" min="4" max="4"/>
    <col width="44" customWidth="1" min="5" max="5"/>
  </cols>
  <sheetData>
    <row r="2">
      <c r="B2" s="1" t="inlineStr">
        <is>
          <t>تحليل الحساسية</t>
        </is>
      </c>
    </row>
    <row r="4">
      <c r="B4" s="10" t="inlineStr">
        <is>
          <t>أولاً: عدد الصالونات المطلوب للتعادل عند كل مرحلة توظيف (هامش مساهمة 270 ر.س/صالون)</t>
        </is>
      </c>
    </row>
    <row r="5">
      <c r="B5" s="3" t="inlineStr">
        <is>
          <t>المرحلة</t>
        </is>
      </c>
      <c r="C5" s="3" t="inlineStr">
        <is>
          <t>التكاليف الثابتة (فريق+خوادم)</t>
        </is>
      </c>
      <c r="D5" s="3" t="inlineStr">
        <is>
          <t>صالونات مطلوبة للتعادل</t>
        </is>
      </c>
    </row>
    <row r="6">
      <c r="B6" s="4" t="inlineStr">
        <is>
          <t>1 — الانطلاق</t>
        </is>
      </c>
      <c r="C6" s="5" t="n">
        <v>1800</v>
      </c>
      <c r="D6" s="20">
        <f>ROUNDUP(C6/270,0)</f>
        <v/>
      </c>
    </row>
    <row r="7">
      <c r="B7" s="4" t="inlineStr">
        <is>
          <t>2 — التوسع الأولي</t>
        </is>
      </c>
      <c r="C7" s="5" t="n">
        <v>5480</v>
      </c>
      <c r="D7" s="20">
        <f>ROUNDUP(C7/270,0)</f>
        <v/>
      </c>
    </row>
    <row r="8">
      <c r="B8" s="4" t="inlineStr">
        <is>
          <t>3 — التثبيت</t>
        </is>
      </c>
      <c r="C8" s="5" t="n">
        <v>15490</v>
      </c>
      <c r="D8" s="20">
        <f>ROUNDUP(C8/270,0)</f>
        <v/>
      </c>
    </row>
    <row r="9">
      <c r="B9" s="4" t="inlineStr">
        <is>
          <t>4 — النمو</t>
        </is>
      </c>
      <c r="C9" s="5" t="n">
        <v>24140</v>
      </c>
      <c r="D9" s="20">
        <f>ROUNDUP(C9/270,0)</f>
        <v/>
      </c>
    </row>
    <row r="12">
      <c r="B12" s="10" t="inlineStr">
        <is>
          <t>ثانياً: أثر معدل الاضطراب (Churn) الشهري على قاعدة 150 صالوناً</t>
        </is>
      </c>
    </row>
    <row r="13">
      <c r="B13" s="3" t="inlineStr">
        <is>
          <t>معدل Churn شهري</t>
        </is>
      </c>
      <c r="C13" s="3" t="inlineStr">
        <is>
          <t>صالونات مفقودة/شهر</t>
        </is>
      </c>
      <c r="D13" s="3" t="inlineStr">
        <is>
          <t>تكلفة تعويض (CAC 360 ر.س)</t>
        </is>
      </c>
      <c r="E13" s="3" t="inlineStr">
        <is>
          <t>ملاحظة</t>
        </is>
      </c>
    </row>
    <row r="14">
      <c r="B14" s="21" t="n">
        <v>0.03</v>
      </c>
      <c r="C14" s="22">
        <f>ROUND(150*B14,1)</f>
        <v/>
      </c>
      <c r="D14" s="5">
        <f>C14*360</f>
        <v/>
      </c>
      <c r="E14" s="23" t="inlineStr">
        <is>
          <t>صحي لـ SaaS B2B محلي</t>
        </is>
      </c>
    </row>
    <row r="15">
      <c r="B15" s="21" t="n">
        <v>0.07000000000000001</v>
      </c>
      <c r="C15" s="22">
        <f>ROUND(150*B15,1)</f>
        <v/>
      </c>
      <c r="D15" s="5">
        <f>C15*360</f>
        <v/>
      </c>
      <c r="E15" s="23" t="inlineStr">
        <is>
          <t>تحذير — يستدعي مراجعة الاحتفاظ</t>
        </is>
      </c>
    </row>
    <row r="16">
      <c r="B16" s="21" t="n">
        <v>0.12</v>
      </c>
      <c r="C16" s="22">
        <f>ROUND(150*B16,1)</f>
        <v/>
      </c>
      <c r="D16" s="5">
        <f>C16*360</f>
        <v/>
      </c>
      <c r="E16" s="23" t="inlineStr">
        <is>
          <t>خطر حقيقي على النمو التراكمي</t>
        </is>
      </c>
    </row>
    <row r="18">
      <c r="B18" s="9" t="inlineStr">
        <is>
          <t>خلاصة: Churn أعلى من ~7% شهرياً يجعل مسار '300 صالون بنهاية السنة' غير قابل للتحقق حتى مع ثبات معدل الاكتساب.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2026-09-23T23:13:48Z</dcterms:created>
  <dcterms:modified xsi:type="dcterms:W3CDTF">2026-09-23T23:13:48Z</dcterms:modified>
</cp:coreProperties>
</file>